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d.docs.live.net/0f6bea613ab3e327/Documents/"/>
    </mc:Choice>
  </mc:AlternateContent>
  <xr:revisionPtr revIDLastSave="0" documentId="8_{38AF74F6-7156-4031-90CA-9040191E240C}" xr6:coauthVersionLast="47" xr6:coauthVersionMax="47" xr10:uidLastSave="{00000000-0000-0000-0000-000000000000}"/>
  <bookViews>
    <workbookView xWindow="-110" yWindow="-110" windowWidth="19420" windowHeight="10300" firstSheet="4" activeTab="4" xr2:uid="{C11ADF26-DD8E-413F-B141-B5BD7658DB4D}"/>
  </bookViews>
  <sheets>
    <sheet name="Que-1" sheetId="1" r:id="rId1"/>
    <sheet name="Que-2" sheetId="2" r:id="rId2"/>
    <sheet name="Que-3" sheetId="3" r:id="rId3"/>
    <sheet name="Que- 4" sheetId="4" r:id="rId4"/>
    <sheet name="Que-5" sheetId="5" r:id="rId5"/>
    <sheet name="Que-6" sheetId="6" r:id="rId6"/>
    <sheet name="Que-7" sheetId="7" r:id="rId7"/>
    <sheet name="Que-8" sheetId="8" r:id="rId8"/>
    <sheet name="Que-9" sheetId="9" r:id="rId9"/>
    <sheet name="Que-10"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4" l="1"/>
  <c r="G16" i="10"/>
  <c r="G17" i="10"/>
  <c r="C11" i="10"/>
  <c r="C10" i="10"/>
  <c r="C9" i="10"/>
  <c r="C8" i="10"/>
  <c r="G10" i="10" s="1"/>
  <c r="F9" i="9"/>
  <c r="C8" i="9"/>
  <c r="C9" i="9"/>
  <c r="C10" i="9"/>
  <c r="C11" i="9"/>
  <c r="C12" i="9"/>
  <c r="F8" i="9"/>
  <c r="E5" i="6"/>
  <c r="G7" i="5"/>
  <c r="D7" i="5"/>
  <c r="D8" i="5"/>
  <c r="D9" i="5"/>
  <c r="D10" i="5"/>
  <c r="D6" i="5"/>
  <c r="G6" i="5"/>
  <c r="C9" i="3" a="1"/>
  <c r="C9" i="3" s="1"/>
  <c r="C9" i="2"/>
  <c r="C17" i="1"/>
  <c r="G15" i="10" l="1"/>
  <c r="G14" i="10"/>
  <c r="G13" i="10"/>
  <c r="G12" i="10"/>
  <c r="G11" i="10"/>
  <c r="C12"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<sst xmlns="http://schemas.openxmlformats.org/spreadsheetml/2006/main" count="70" uniqueCount="65">
  <si>
    <t>Q1</t>
  </si>
  <si>
    <t xml:space="preserve"> Understanding Central Tendency (Easy)_x000B_</t>
  </si>
  <si>
    <t>A bakery tracks the daily sales of muffins (in dozens) over a week: [10, 12,
 11, 15, 14, 13, 12]. What is the most representative value of their 
weekly sales, and why?</t>
  </si>
  <si>
    <t>Ans</t>
  </si>
  <si>
    <t>Day</t>
  </si>
  <si>
    <t>Sales (in dozens)</t>
  </si>
  <si>
    <t>If we want to find most represtive value. we can find mean, as there is no extreme values or outliers.</t>
  </si>
  <si>
    <t>Mean</t>
  </si>
  <si>
    <t>So, 12.42 is the most represtentive value.</t>
  </si>
  <si>
    <t>Q2: Mean in Real Life (Easy)</t>
  </si>
  <si>
    <t>A teacher records the marks of her students in a short quiz: [12, 15, 14, 16, 18, 20, 19]. What is the mean score, and what doesit tell us about the class’s performance?</t>
  </si>
  <si>
    <t>It tells t us that there is some difference among the level of all students, but this difference is nor much neither negligible. It shows that all the students are almost of same understanding level, as there is no extreme value or any outliers.</t>
  </si>
  <si>
    <t>Q3: Mode in Real Life (Easy)</t>
  </si>
  <si>
    <t>A store records the shoe sizes sold in one day: [7, 8, 9, 8, 8, 10, 7
, 9]. What is the mode, and why is this information useful for
 the store manager?</t>
  </si>
  <si>
    <t>Mode</t>
  </si>
  <si>
    <t>It tell that the shoe size "8" is the most demanded shoe in that particlar store, which indicates that store owner proritise size 8 in that store.</t>
  </si>
  <si>
    <t>Q4: Median in Real Life (Medium)</t>
  </si>
  <si>
    <t>A car dealer notes the prices of used cars: [$8,000, $9,500, 
$10,200, $11,000, $50,000]._x000B_ Why is the median a better measure than the mean in this case? Calculate the median</t>
  </si>
  <si>
    <t>$8,000</t>
  </si>
  <si>
    <t>$9,500</t>
  </si>
  <si>
    <t>$10,200</t>
  </si>
  <si>
    <t>$11,000</t>
  </si>
  <si>
    <t>$50,000</t>
  </si>
  <si>
    <t>first we need to change it into simple number format</t>
  </si>
  <si>
    <t>Median</t>
  </si>
  <si>
    <t>This shows that the half the cars sold cost more than 10200, meanwhile the  remaining cost less than $10200</t>
  </si>
  <si>
    <t>Q5: Dispersion Introduction (Medium) </t>
  </si>
  <si>
    <t>A student times how long it takes to finish a puzzle each day: [25, 30, 27, 35, 40]._x000B_ What does the range tell us about the variation in the student’s puzzle-solving time?</t>
  </si>
  <si>
    <t>Puzzle time each day</t>
  </si>
  <si>
    <t>difference Sqr</t>
  </si>
  <si>
    <t>range</t>
  </si>
  <si>
    <t>VARIANCE</t>
  </si>
  <si>
    <t>Range indicates us that the performance of the student is not consistent, some times he finish it in just 25 minutes, while some times it takes 40 minutes to be solved.</t>
  </si>
  <si>
    <t>Q6: Range in Action (Medium) </t>
  </si>
  <si>
    <t>A farmer records the weekly weight of harvested apples (kg): [100, 105, 98, 110, 120]._x000B_ Find the range. How can this help the farmer in planning his packaging?</t>
  </si>
  <si>
    <t>The range is 22, which is not too much, not too less but very helpful. This is not too much but also not consistent.  It can help farmer to plan his package. The packaging should be flexible. He must keep some extra boxes near 120 in high yeild weeks. If he keeps extra packages in low yeilding weeks, he should keep it reserve for upcoming weeks and should'nt overorder.</t>
  </si>
  <si>
    <t xml:space="preserve"> Variance for Decision-Making (Medium)_x000B_</t>
  </si>
  <si>
    <t>Two delivery companies track delivery delays (in minutes).</t>
  </si>
  <si>
    <t>Company A: variance = 6</t>
  </si>
  <si>
    <t>Company B: variance = 15</t>
  </si>
  <si>
    <t>Which company is more consistent, and why?</t>
  </si>
  <si>
    <t xml:space="preserve">Company A is more consistent as compared to B, as its orders timing does'nt fluctuate as much company B. </t>
  </si>
  <si>
    <t>Q8: Standard Deviation in Context (Hard) </t>
  </si>
  <si>
    <t>A finance student compares the daily price fluctuations of two cryptocurrencies.</t>
  </si>
  <si>
    <t>Coin A: standard deviation = $30</t>
  </si>
  <si>
    <t>Coin B: standard deviation = $120 </t>
  </si>
  <si>
    <t xml:space="preserve"> Which coin is riskier to invest in, and why?</t>
  </si>
  <si>
    <t>If there is no huge difference between the value of per coin, then coin B is more riskier to invest, as it can flucutate 120 ups and downs, meanwhile coin A only fluctuate only 30 in that time period. So Coin A is a stabler coin.</t>
  </si>
  <si>
    <t>Q9: Combining Measures (Hard) </t>
  </si>
  <si>
    <t>A family records their monthly electricity usage (in kWh): [400, 420, 390, 450, 410].</t>
  </si>
  <si>
    <t>Find the mean and standard deviation. What do these values together tell you about the family’s energy use pattern?</t>
  </si>
  <si>
    <t>ele. (in KWh)</t>
  </si>
  <si>
    <t>difference sqr</t>
  </si>
  <si>
    <t>mean</t>
  </si>
  <si>
    <t>Standard deviation</t>
  </si>
  <si>
    <t>Mean and standard deviation shows us that the electrity consumption is consistent month by month, there is no outliers or extreme value.</t>
  </si>
  <si>
    <t>Q10: Practical Application (Hard) </t>
  </si>
  <si>
    <t>A basketball player’s points in 8 games are recorded: [15, 18, 20, 22, 25, 17, 19, 21]._x000B_ Find the mean, median, mode, range, and standard deviation. What insights can these measures provide about the player’s scoring performance?</t>
  </si>
  <si>
    <t>median</t>
  </si>
  <si>
    <t>points</t>
  </si>
  <si>
    <t>difference square</t>
  </si>
  <si>
    <t>mode</t>
  </si>
  <si>
    <t>Mean and median is almost same</t>
  </si>
  <si>
    <t>Standard devivation also low as compared to mean</t>
  </si>
  <si>
    <t>Which shows that the player's performance is consintent, player is playing well in all the games. There is no extreme value in this, so this is noraml distribution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</si>
</sst>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5">
    <font>
      <sz val="11"/>
      <color theme="1"/>
      <name val="Aptos Narrow"/>
      <family val="2"/>
      <scheme val="minor"/>
    </font>
    <font>
      <b/>
      <sz val="11"/>
      <color theme="1"/>
      <name val="Aptos Narrow"/>
      <family val="2"/>
      <scheme val="minor"/>
    </font>
    <font>
      <b/>
      <sz val="18"/>
      <color theme="1"/>
      <name val="Aptos Narrow"/>
      <family val="2"/>
      <scheme val="minor"/>
    </font>
    <font>
      <b/>
      <sz val="18"/>
      <color indexed="8"/>
      <name val="Aptos Narrow"/>
      <family val="2"/>
      <scheme val="minor"/>
    </font>
    <font>
      <sz val="18"/>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3" borderId="0" xfId="0" applyFill="1" applyBorder="1"/>
    <xf numFmtId="0" fontId="0" fillId="0" borderId="6" xfId="0" applyBorder="1"/>
    <xf numFmtId="0" fontId="0" fillId="0" borderId="7" xfId="0" applyBorder="1"/>
    <xf numFmtId="0" fontId="0" fillId="0" borderId="8" xfId="0" applyBorder="1"/>
    <xf numFmtId="0" fontId="4" fillId="0" borderId="2" xfId="0" applyFont="1" applyBorder="1"/>
    <xf numFmtId="164" fontId="0" fillId="0" borderId="4" xfId="0" applyNumberFormat="1" applyBorder="1"/>
    <xf numFmtId="164" fontId="0" fillId="0" borderId="0" xfId="0" applyNumberFormat="1" applyBorder="1"/>
    <xf numFmtId="0" fontId="0" fillId="0" borderId="4" xfId="0" applyNumberFormat="1" applyBorder="1"/>
    <xf numFmtId="0" fontId="0" fillId="0" borderId="0" xfId="0" applyNumberFormat="1" applyBorder="1"/>
    <xf numFmtId="2" fontId="0" fillId="0" borderId="4" xfId="0" applyNumberFormat="1" applyBorder="1"/>
    <xf numFmtId="2" fontId="0" fillId="0" borderId="0" xfId="0" applyNumberFormat="1" applyBorder="1"/>
    <xf numFmtId="0" fontId="2" fillId="2" borderId="0" xfId="0" applyFont="1" applyFill="1" applyBorder="1" applyAlignment="1">
      <alignment horizontal="left"/>
    </xf>
    <xf numFmtId="0" fontId="1" fillId="0" borderId="0" xfId="0" applyFont="1" applyBorder="1" applyAlignment="1">
      <alignment horizontal="left" vertical="top" wrapText="1"/>
    </xf>
    <xf numFmtId="0" fontId="1" fillId="0" borderId="0" xfId="0" applyFont="1" applyBorder="1" applyAlignment="1">
      <alignment horizontal="left" vertical="top"/>
    </xf>
    <xf numFmtId="0" fontId="0" fillId="3" borderId="0" xfId="0" applyFill="1" applyBorder="1" applyAlignment="1">
      <alignment horizontal="center"/>
    </xf>
    <xf numFmtId="0" fontId="0" fillId="3" borderId="5" xfId="0" applyFill="1" applyBorder="1" applyAlignment="1">
      <alignment horizontal="center"/>
    </xf>
    <xf numFmtId="0" fontId="3" fillId="2" borderId="0" xfId="0" applyFont="1" applyFill="1" applyAlignment="1">
      <alignment horizontal="left"/>
    </xf>
    <xf numFmtId="0" fontId="1" fillId="0" borderId="0" xfId="0" applyFont="1" applyAlignment="1">
      <alignment horizontal="left" vertical="top" wrapText="1"/>
    </xf>
    <xf numFmtId="0" fontId="1" fillId="0" borderId="0" xfId="0" applyFont="1" applyAlignment="1">
      <alignment horizontal="left" vertical="top"/>
    </xf>
    <xf numFmtId="0" fontId="3" fillId="2" borderId="1" xfId="0" applyFont="1" applyFill="1" applyBorder="1" applyAlignment="1">
      <alignment horizontal="left"/>
    </xf>
    <xf numFmtId="0" fontId="3" fillId="2" borderId="2" xfId="0" applyFont="1" applyFill="1" applyBorder="1" applyAlignment="1">
      <alignment horizontal="left"/>
    </xf>
    <xf numFmtId="0" fontId="1" fillId="0" borderId="4" xfId="0" applyFont="1" applyBorder="1" applyAlignment="1">
      <alignment horizontal="left" vertical="top" wrapText="1"/>
    </xf>
    <xf numFmtId="0" fontId="1" fillId="0" borderId="4" xfId="0" applyFont="1" applyBorder="1" applyAlignment="1">
      <alignment horizontal="left" vertical="top"/>
    </xf>
    <xf numFmtId="0" fontId="3" fillId="2" borderId="3" xfId="0" applyFont="1" applyFill="1" applyBorder="1" applyAlignment="1">
      <alignment horizontal="left"/>
    </xf>
    <xf numFmtId="0" fontId="0" fillId="0" borderId="4" xfId="0" applyBorder="1" applyAlignment="1">
      <alignment horizontal="left" vertical="top" wrapText="1"/>
    </xf>
    <xf numFmtId="0" fontId="0" fillId="0" borderId="0" xfId="0" applyBorder="1" applyAlignment="1">
      <alignment horizontal="left" vertical="top" wrapText="1"/>
    </xf>
    <xf numFmtId="0" fontId="0" fillId="0" borderId="5"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BC9D-48EE-42F8-A4FD-B2396B29B379}">
  <dimension ref="A1:L18"/>
  <sheetViews>
    <sheetView workbookViewId="0">
      <selection activeCell="H6" sqref="H6"/>
    </sheetView>
  </sheetViews>
  <sheetFormatPr defaultRowHeight="14.45"/>
  <sheetData>
    <row r="1" spans="1:12">
      <c r="A1" s="1"/>
      <c r="B1" s="2"/>
      <c r="C1" s="2"/>
      <c r="D1" s="2"/>
      <c r="E1" s="2"/>
      <c r="F1" s="2"/>
      <c r="G1" s="2"/>
      <c r="H1" s="2"/>
      <c r="I1" s="2"/>
      <c r="J1" s="2"/>
      <c r="K1" s="2"/>
      <c r="L1" s="3"/>
    </row>
    <row r="2" spans="1:12" ht="23.45">
      <c r="A2" s="4" t="s">
        <v>0</v>
      </c>
      <c r="B2" s="18" t="s">
        <v>1</v>
      </c>
      <c r="C2" s="18"/>
      <c r="D2" s="18"/>
      <c r="E2" s="18"/>
      <c r="F2" s="18"/>
      <c r="G2" s="18"/>
      <c r="H2" s="18"/>
      <c r="I2" s="5"/>
      <c r="J2" s="5"/>
      <c r="K2" s="5"/>
      <c r="L2" s="6"/>
    </row>
    <row r="3" spans="1:12">
      <c r="A3" s="4"/>
      <c r="B3" s="19" t="s">
        <v>2</v>
      </c>
      <c r="C3" s="20"/>
      <c r="D3" s="20"/>
      <c r="E3" s="20"/>
      <c r="F3" s="20"/>
      <c r="G3" s="20"/>
      <c r="H3" s="20"/>
      <c r="I3" s="5"/>
      <c r="J3" s="5"/>
      <c r="K3" s="5"/>
      <c r="L3" s="6"/>
    </row>
    <row r="4" spans="1:12">
      <c r="A4" s="4"/>
      <c r="B4" s="20"/>
      <c r="C4" s="20"/>
      <c r="D4" s="20"/>
      <c r="E4" s="20"/>
      <c r="F4" s="20"/>
      <c r="G4" s="20"/>
      <c r="H4" s="20"/>
      <c r="I4" s="5"/>
      <c r="J4" s="5"/>
      <c r="K4" s="5"/>
      <c r="L4" s="6"/>
    </row>
    <row r="5" spans="1:12">
      <c r="A5" s="4" t="s">
        <v>3</v>
      </c>
      <c r="B5" s="20"/>
      <c r="C5" s="20"/>
      <c r="D5" s="20"/>
      <c r="E5" s="20"/>
      <c r="F5" s="20"/>
      <c r="G5" s="20"/>
      <c r="H5" s="20"/>
      <c r="I5" s="5"/>
      <c r="J5" s="5"/>
      <c r="K5" s="5"/>
      <c r="L5" s="6"/>
    </row>
    <row r="6" spans="1:12">
      <c r="A6" s="4"/>
      <c r="B6" s="5" t="s">
        <v>4</v>
      </c>
      <c r="C6" s="5" t="s">
        <v>5</v>
      </c>
      <c r="D6" s="5"/>
      <c r="E6" s="5"/>
      <c r="F6" s="5"/>
      <c r="G6" s="5"/>
      <c r="H6" s="5"/>
      <c r="I6" s="5"/>
      <c r="J6" s="5"/>
      <c r="K6" s="5"/>
      <c r="L6" s="6"/>
    </row>
    <row r="7" spans="1:12">
      <c r="A7" s="4"/>
      <c r="B7" s="5">
        <v>1</v>
      </c>
      <c r="C7" s="5">
        <v>10</v>
      </c>
      <c r="D7" s="5"/>
      <c r="E7" s="5"/>
      <c r="F7" s="5"/>
      <c r="G7" s="5"/>
      <c r="H7" s="5"/>
      <c r="I7" s="5"/>
      <c r="J7" s="5"/>
      <c r="K7" s="5"/>
      <c r="L7" s="6"/>
    </row>
    <row r="8" spans="1:12">
      <c r="A8" s="4"/>
      <c r="B8" s="5">
        <v>2</v>
      </c>
      <c r="C8" s="5">
        <v>12</v>
      </c>
      <c r="D8" s="5"/>
      <c r="E8" s="5"/>
      <c r="F8" s="5"/>
      <c r="G8" s="5"/>
      <c r="H8" s="5"/>
      <c r="I8" s="5"/>
      <c r="J8" s="5"/>
      <c r="K8" s="5"/>
      <c r="L8" s="6"/>
    </row>
    <row r="9" spans="1:12">
      <c r="A9" s="4"/>
      <c r="B9" s="5">
        <v>3</v>
      </c>
      <c r="C9" s="5">
        <v>11</v>
      </c>
      <c r="D9" s="5"/>
      <c r="E9" s="5"/>
      <c r="F9" s="5"/>
      <c r="G9" s="5"/>
      <c r="H9" s="5"/>
      <c r="I9" s="5"/>
      <c r="J9" s="5"/>
      <c r="K9" s="5"/>
      <c r="L9" s="6"/>
    </row>
    <row r="10" spans="1:12">
      <c r="A10" s="4"/>
      <c r="B10" s="5">
        <v>4</v>
      </c>
      <c r="C10" s="5">
        <v>15</v>
      </c>
      <c r="D10" s="5"/>
      <c r="E10" s="5"/>
      <c r="F10" s="5"/>
      <c r="G10" s="5"/>
      <c r="H10" s="5"/>
      <c r="I10" s="5"/>
      <c r="J10" s="5"/>
      <c r="K10" s="5"/>
      <c r="L10" s="6"/>
    </row>
    <row r="11" spans="1:12">
      <c r="A11" s="4"/>
      <c r="B11" s="5">
        <v>5</v>
      </c>
      <c r="C11" s="5">
        <v>14</v>
      </c>
      <c r="D11" s="5"/>
      <c r="E11" s="5"/>
      <c r="F11" s="5"/>
      <c r="G11" s="5"/>
      <c r="H11" s="5"/>
      <c r="I11" s="5"/>
      <c r="J11" s="5"/>
      <c r="K11" s="5"/>
      <c r="L11" s="6"/>
    </row>
    <row r="12" spans="1:12">
      <c r="A12" s="4"/>
      <c r="B12" s="5">
        <v>6</v>
      </c>
      <c r="C12" s="5">
        <v>13</v>
      </c>
      <c r="D12" s="5"/>
      <c r="E12" s="5"/>
      <c r="F12" s="5"/>
      <c r="G12" s="5"/>
      <c r="H12" s="5"/>
      <c r="I12" s="5"/>
      <c r="J12" s="5"/>
      <c r="K12" s="5"/>
      <c r="L12" s="6"/>
    </row>
    <row r="13" spans="1:12">
      <c r="A13" s="4"/>
      <c r="B13" s="5">
        <v>7</v>
      </c>
      <c r="C13" s="5">
        <v>12</v>
      </c>
      <c r="D13" s="5"/>
      <c r="E13" s="5"/>
      <c r="F13" s="5"/>
      <c r="G13" s="5"/>
      <c r="H13" s="5"/>
      <c r="I13" s="5"/>
      <c r="J13" s="5"/>
      <c r="K13" s="5"/>
      <c r="L13" s="6"/>
    </row>
    <row r="14" spans="1:12">
      <c r="A14" s="4"/>
      <c r="B14" s="5"/>
      <c r="C14" s="5"/>
      <c r="D14" s="5"/>
      <c r="E14" s="5"/>
      <c r="F14" s="5"/>
      <c r="G14" s="5"/>
      <c r="H14" s="5"/>
      <c r="I14" s="5"/>
      <c r="J14" s="5"/>
      <c r="K14" s="5"/>
      <c r="L14" s="6"/>
    </row>
    <row r="15" spans="1:12">
      <c r="A15" s="4"/>
      <c r="B15" s="5"/>
      <c r="C15" s="5"/>
      <c r="D15" s="5"/>
      <c r="E15" s="5"/>
      <c r="F15" s="5"/>
      <c r="G15" s="5"/>
      <c r="H15" s="5"/>
      <c r="I15" s="5"/>
      <c r="J15" s="5"/>
      <c r="K15" s="5"/>
      <c r="L15" s="6"/>
    </row>
    <row r="16" spans="1:12">
      <c r="A16" s="4"/>
      <c r="B16" s="5"/>
      <c r="C16" s="5"/>
      <c r="D16" s="21" t="s">
        <v>6</v>
      </c>
      <c r="E16" s="21"/>
      <c r="F16" s="21"/>
      <c r="G16" s="21"/>
      <c r="H16" s="21"/>
      <c r="I16" s="21"/>
      <c r="J16" s="21"/>
      <c r="K16" s="21"/>
      <c r="L16" s="22"/>
    </row>
    <row r="17" spans="1:12">
      <c r="A17" s="4"/>
      <c r="B17" s="5" t="s">
        <v>7</v>
      </c>
      <c r="C17" s="7">
        <f>AVERAGE(C7:C13)</f>
        <v>12.428571428571429</v>
      </c>
      <c r="D17" s="5"/>
      <c r="E17" s="5"/>
      <c r="F17" s="5"/>
      <c r="G17" s="5"/>
      <c r="H17" s="5"/>
      <c r="I17" s="5"/>
      <c r="J17" s="5"/>
      <c r="K17" s="5"/>
      <c r="L17" s="6"/>
    </row>
    <row r="18" spans="1:12" ht="15" thickBot="1">
      <c r="A18" s="8"/>
      <c r="B18" s="9"/>
      <c r="C18" s="9" t="s">
        <v>8</v>
      </c>
      <c r="D18" s="9"/>
      <c r="E18" s="9"/>
      <c r="F18" s="9"/>
      <c r="G18" s="9"/>
      <c r="H18" s="9"/>
      <c r="I18" s="9"/>
      <c r="J18" s="9"/>
      <c r="K18" s="9"/>
      <c r="L18" s="10"/>
    </row>
  </sheetData>
  <mergeCells count="3">
    <mergeCell ref="B2:H2"/>
    <mergeCell ref="B3:H5"/>
    <mergeCell ref="D16:L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A6609-3620-428D-8216-FD1C12D87E61}">
  <dimension ref="B2:I11"/>
  <sheetViews>
    <sheetView topLeftCell="A3" zoomScale="116" workbookViewId="0">
      <selection activeCell="B7" sqref="B7"/>
    </sheetView>
  </sheetViews>
  <sheetFormatPr defaultRowHeight="14.45"/>
  <sheetData>
    <row r="2" spans="2:9" ht="23.45">
      <c r="B2" s="23" t="s">
        <v>9</v>
      </c>
      <c r="C2" s="23"/>
      <c r="D2" s="23"/>
      <c r="E2" s="23"/>
      <c r="F2" s="23"/>
      <c r="G2" s="23"/>
    </row>
    <row r="4" spans="2:9">
      <c r="B4" s="24" t="s">
        <v>10</v>
      </c>
      <c r="C4" s="25"/>
      <c r="D4" s="25"/>
      <c r="E4" s="25"/>
      <c r="F4" s="25"/>
      <c r="G4" s="25"/>
    </row>
    <row r="5" spans="2:9">
      <c r="B5" s="25"/>
      <c r="C5" s="25"/>
      <c r="D5" s="25"/>
      <c r="E5" s="25"/>
      <c r="F5" s="25"/>
      <c r="G5" s="25"/>
    </row>
    <row r="6" spans="2:9">
      <c r="B6" s="25"/>
      <c r="C6" s="25"/>
      <c r="D6" s="25"/>
      <c r="E6" s="25"/>
      <c r="F6" s="25"/>
      <c r="G6" s="25"/>
    </row>
    <row r="7" spans="2:9">
      <c r="C7">
        <v>12</v>
      </c>
      <c r="D7">
        <v>15</v>
      </c>
      <c r="E7">
        <v>14</v>
      </c>
      <c r="F7">
        <v>16</v>
      </c>
      <c r="G7">
        <v>18</v>
      </c>
      <c r="H7">
        <v>20</v>
      </c>
      <c r="I7">
        <v>19</v>
      </c>
    </row>
    <row r="9" spans="2:9">
      <c r="B9" t="s">
        <v>7</v>
      </c>
      <c r="C9">
        <f>AVERAGE($C$7:$I$7)</f>
        <v>16.285714285714285</v>
      </c>
    </row>
    <row r="11" spans="2:9">
      <c r="C11" t="s">
        <v>11</v>
      </c>
    </row>
  </sheetData>
  <mergeCells count="2">
    <mergeCell ref="B2:G2"/>
    <mergeCell ref="B4: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8D398-1E03-419F-80B9-B67C898851F7}">
  <dimension ref="B1:O11"/>
  <sheetViews>
    <sheetView zoomScale="109" workbookViewId="0">
      <selection activeCell="E8" sqref="E8"/>
    </sheetView>
  </sheetViews>
  <sheetFormatPr defaultRowHeight="14.45"/>
  <sheetData>
    <row r="1" spans="2:15" ht="15" thickBot="1"/>
    <row r="2" spans="2:15" ht="23.45">
      <c r="B2" s="26" t="s">
        <v>12</v>
      </c>
      <c r="C2" s="27"/>
      <c r="D2" s="27"/>
      <c r="E2" s="27"/>
      <c r="F2" s="27"/>
      <c r="G2" s="27"/>
      <c r="H2" s="11"/>
      <c r="I2" s="2"/>
      <c r="J2" s="2"/>
      <c r="K2" s="2"/>
      <c r="L2" s="2"/>
      <c r="M2" s="2"/>
      <c r="N2" s="2"/>
      <c r="O2" s="3"/>
    </row>
    <row r="3" spans="2:15">
      <c r="B3" s="4"/>
      <c r="C3" s="5"/>
      <c r="D3" s="5"/>
      <c r="E3" s="5"/>
      <c r="F3" s="5"/>
      <c r="G3" s="5"/>
      <c r="H3" s="5"/>
      <c r="I3" s="5"/>
      <c r="J3" s="5"/>
      <c r="K3" s="5"/>
      <c r="L3" s="5"/>
      <c r="M3" s="5"/>
      <c r="N3" s="5"/>
      <c r="O3" s="6"/>
    </row>
    <row r="4" spans="2:15">
      <c r="B4" s="28" t="s">
        <v>13</v>
      </c>
      <c r="C4" s="20"/>
      <c r="D4" s="20"/>
      <c r="E4" s="20"/>
      <c r="F4" s="20"/>
      <c r="G4" s="20"/>
      <c r="H4" s="5"/>
      <c r="I4" s="5"/>
      <c r="J4" s="5"/>
      <c r="K4" s="5"/>
      <c r="L4" s="5"/>
      <c r="M4" s="5"/>
      <c r="N4" s="5"/>
      <c r="O4" s="6"/>
    </row>
    <row r="5" spans="2:15">
      <c r="B5" s="29"/>
      <c r="C5" s="20"/>
      <c r="D5" s="20"/>
      <c r="E5" s="20"/>
      <c r="F5" s="20"/>
      <c r="G5" s="20"/>
      <c r="H5" s="5"/>
      <c r="I5" s="5"/>
      <c r="J5" s="5"/>
      <c r="K5" s="5"/>
      <c r="L5" s="5"/>
      <c r="M5" s="5"/>
      <c r="N5" s="5"/>
      <c r="O5" s="6"/>
    </row>
    <row r="6" spans="2:15">
      <c r="B6" s="29"/>
      <c r="C6" s="20"/>
      <c r="D6" s="20"/>
      <c r="E6" s="20"/>
      <c r="F6" s="20"/>
      <c r="G6" s="20"/>
      <c r="H6" s="5"/>
      <c r="I6" s="5"/>
      <c r="J6" s="5"/>
      <c r="K6" s="5"/>
      <c r="L6" s="5"/>
      <c r="M6" s="5"/>
      <c r="N6" s="5"/>
      <c r="O6" s="6"/>
    </row>
    <row r="7" spans="2:15">
      <c r="B7" s="4">
        <v>7</v>
      </c>
      <c r="C7" s="5">
        <v>8</v>
      </c>
      <c r="D7" s="5">
        <v>9</v>
      </c>
      <c r="E7" s="5">
        <v>8</v>
      </c>
      <c r="F7" s="5">
        <v>8</v>
      </c>
      <c r="G7" s="5">
        <v>10</v>
      </c>
      <c r="H7" s="5">
        <v>7</v>
      </c>
      <c r="I7" s="5">
        <v>9</v>
      </c>
      <c r="J7" s="5"/>
      <c r="K7" s="5"/>
      <c r="L7" s="5"/>
      <c r="M7" s="5"/>
      <c r="N7" s="5"/>
      <c r="O7" s="6"/>
    </row>
    <row r="8" spans="2:15">
      <c r="B8" s="4"/>
      <c r="C8" s="5"/>
      <c r="D8" s="5"/>
      <c r="E8" s="5"/>
      <c r="F8" s="5"/>
      <c r="G8" s="5"/>
      <c r="H8" s="5"/>
      <c r="I8" s="5"/>
      <c r="J8" s="5"/>
      <c r="K8" s="5"/>
      <c r="L8" s="5"/>
      <c r="M8" s="5"/>
      <c r="N8" s="5"/>
      <c r="O8" s="6"/>
    </row>
    <row r="9" spans="2:15">
      <c r="B9" s="4" t="s">
        <v>14</v>
      </c>
      <c r="C9" s="5" cm="1">
        <f t="array" ref="C9">_xlfn.MODE.MULT(B7:I7)</f>
        <v>8</v>
      </c>
      <c r="D9" s="5"/>
      <c r="E9" s="5"/>
      <c r="F9" s="5"/>
      <c r="G9" s="5"/>
      <c r="H9" s="5"/>
      <c r="I9" s="5"/>
      <c r="J9" s="5"/>
      <c r="K9" s="5"/>
      <c r="L9" s="5"/>
      <c r="M9" s="5"/>
      <c r="N9" s="5"/>
      <c r="O9" s="6"/>
    </row>
    <row r="10" spans="2:15">
      <c r="B10" s="4"/>
      <c r="C10" s="5"/>
      <c r="D10" s="5"/>
      <c r="E10" s="5"/>
      <c r="F10" s="5"/>
      <c r="G10" s="5"/>
      <c r="H10" s="5"/>
      <c r="I10" s="5"/>
      <c r="J10" s="5"/>
      <c r="K10" s="5"/>
      <c r="L10" s="5"/>
      <c r="M10" s="5"/>
      <c r="N10" s="5"/>
      <c r="O10" s="6"/>
    </row>
    <row r="11" spans="2:15" ht="15" thickBot="1">
      <c r="B11" s="8"/>
      <c r="C11" s="9" t="s">
        <v>15</v>
      </c>
      <c r="D11" s="9"/>
      <c r="E11" s="9"/>
      <c r="F11" s="9"/>
      <c r="G11" s="9"/>
      <c r="H11" s="9"/>
      <c r="I11" s="9"/>
      <c r="J11" s="9"/>
      <c r="K11" s="9"/>
      <c r="L11" s="9"/>
      <c r="M11" s="9"/>
      <c r="N11" s="9"/>
      <c r="O11" s="10"/>
    </row>
  </sheetData>
  <mergeCells count="2">
    <mergeCell ref="B2:G2"/>
    <mergeCell ref="B4:G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5A604-A3C3-461D-9A1E-C6D6DDB10ED0}">
  <dimension ref="B1:G17"/>
  <sheetViews>
    <sheetView zoomScale="143" zoomScaleNormal="175" workbookViewId="0">
      <selection activeCell="H5" sqref="H5"/>
    </sheetView>
  </sheetViews>
  <sheetFormatPr defaultRowHeight="14.45"/>
  <sheetData>
    <row r="1" spans="2:7" ht="15" thickBot="1"/>
    <row r="2" spans="2:7" ht="23.45">
      <c r="B2" s="26" t="s">
        <v>16</v>
      </c>
      <c r="C2" s="27"/>
      <c r="D2" s="27"/>
      <c r="E2" s="27"/>
      <c r="F2" s="27"/>
      <c r="G2" s="30"/>
    </row>
    <row r="3" spans="2:7" ht="14.45" customHeight="1">
      <c r="B3" s="31" t="s">
        <v>17</v>
      </c>
      <c r="C3" s="32"/>
      <c r="D3" s="32"/>
      <c r="E3" s="32"/>
      <c r="F3" s="32"/>
      <c r="G3" s="33"/>
    </row>
    <row r="4" spans="2:7">
      <c r="B4" s="31"/>
      <c r="C4" s="32"/>
      <c r="D4" s="32"/>
      <c r="E4" s="32"/>
      <c r="F4" s="32"/>
      <c r="G4" s="33"/>
    </row>
    <row r="5" spans="2:7">
      <c r="B5" s="31"/>
      <c r="C5" s="32"/>
      <c r="D5" s="32"/>
      <c r="E5" s="32"/>
      <c r="F5" s="32"/>
      <c r="G5" s="33"/>
    </row>
    <row r="6" spans="2:7">
      <c r="B6" s="31"/>
      <c r="C6" s="32"/>
      <c r="D6" s="32"/>
      <c r="E6" s="32"/>
      <c r="F6" s="32"/>
      <c r="G6" s="33"/>
    </row>
    <row r="7" spans="2:7">
      <c r="B7" s="12" t="s">
        <v>18</v>
      </c>
      <c r="C7" s="13" t="s">
        <v>19</v>
      </c>
      <c r="D7" s="13" t="s">
        <v>20</v>
      </c>
      <c r="E7" s="13" t="s">
        <v>21</v>
      </c>
      <c r="F7" s="13" t="s">
        <v>22</v>
      </c>
      <c r="G7" s="6"/>
    </row>
    <row r="8" spans="2:7">
      <c r="B8" s="4" t="s">
        <v>23</v>
      </c>
      <c r="C8" s="5"/>
      <c r="D8" s="5"/>
      <c r="E8" s="5"/>
      <c r="F8" s="5"/>
      <c r="G8" s="6"/>
    </row>
    <row r="9" spans="2:7">
      <c r="B9" s="14"/>
      <c r="C9" s="15"/>
      <c r="D9" s="15"/>
      <c r="E9" s="15"/>
      <c r="F9" s="15"/>
      <c r="G9" s="6"/>
    </row>
    <row r="10" spans="2:7">
      <c r="B10" s="16">
        <v>8000</v>
      </c>
      <c r="C10" s="5">
        <v>9500</v>
      </c>
      <c r="D10" s="5">
        <v>10200</v>
      </c>
      <c r="E10" s="5">
        <v>11000</v>
      </c>
      <c r="F10" s="5">
        <v>50000</v>
      </c>
      <c r="G10" s="6"/>
    </row>
    <row r="11" spans="2:7">
      <c r="B11" s="4"/>
      <c r="C11" s="5"/>
      <c r="D11" s="5"/>
      <c r="E11" s="5"/>
      <c r="F11" s="5"/>
      <c r="G11" s="6"/>
    </row>
    <row r="12" spans="2:7">
      <c r="B12" s="4"/>
      <c r="C12" s="5" t="s">
        <v>24</v>
      </c>
      <c r="D12" s="17">
        <f>MEDIAN($B$10:$F$10)</f>
        <v>10200</v>
      </c>
      <c r="E12" s="5"/>
      <c r="F12" s="5"/>
      <c r="G12" s="6"/>
    </row>
    <row r="13" spans="2:7">
      <c r="B13" s="4"/>
      <c r="C13" s="5" t="s">
        <v>25</v>
      </c>
      <c r="D13" s="5"/>
      <c r="E13" s="5"/>
      <c r="F13" s="5"/>
      <c r="G13" s="6"/>
    </row>
    <row r="14" spans="2:7">
      <c r="B14" s="4"/>
      <c r="C14" s="5"/>
      <c r="D14" s="5"/>
      <c r="E14" s="5"/>
      <c r="F14" s="5"/>
      <c r="G14" s="6"/>
    </row>
    <row r="15" spans="2:7">
      <c r="B15" s="4"/>
      <c r="C15" s="5"/>
      <c r="D15" s="5"/>
      <c r="E15" s="5"/>
      <c r="F15" s="5"/>
      <c r="G15" s="6"/>
    </row>
    <row r="16" spans="2:7">
      <c r="B16" s="4"/>
      <c r="C16" s="5"/>
      <c r="D16" s="5"/>
      <c r="E16" s="5"/>
      <c r="F16" s="5"/>
      <c r="G16" s="6"/>
    </row>
    <row r="17" spans="2:7" ht="15" thickBot="1">
      <c r="B17" s="8"/>
      <c r="C17" s="9"/>
      <c r="D17" s="9"/>
      <c r="E17" s="9"/>
      <c r="F17" s="9"/>
      <c r="G17" s="10"/>
    </row>
  </sheetData>
  <mergeCells count="2">
    <mergeCell ref="B2:G2"/>
    <mergeCell ref="B3: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BC658-FE36-4CAF-8C11-C9E7394DFEBE}">
  <dimension ref="B2:G11"/>
  <sheetViews>
    <sheetView tabSelected="1" topLeftCell="A4" zoomScale="134" workbookViewId="0">
      <selection activeCell="B2" sqref="B2:F2"/>
    </sheetView>
  </sheetViews>
  <sheetFormatPr defaultRowHeight="14.45"/>
  <cols>
    <col min="3" max="3" width="17.7109375" bestFit="1" customWidth="1"/>
    <col min="4" max="4" width="7.5703125" bestFit="1" customWidth="1"/>
  </cols>
  <sheetData>
    <row r="2" spans="2:7">
      <c r="B2" t="s">
        <v>26</v>
      </c>
    </row>
    <row r="3" spans="2:7">
      <c r="B3" t="s">
        <v>27</v>
      </c>
    </row>
    <row r="5" spans="2:7">
      <c r="C5" t="s">
        <v>28</v>
      </c>
      <c r="D5" t="s">
        <v>29</v>
      </c>
    </row>
    <row r="6" spans="2:7">
      <c r="C6">
        <v>25</v>
      </c>
      <c r="D6">
        <f>((AVERAGE($C$6:$C$10)-$C6)*(AVERAGE($C$6:$C$10)-$C6))</f>
        <v>40.95999999999998</v>
      </c>
      <c r="F6" t="s">
        <v>30</v>
      </c>
      <c r="G6">
        <f>(MAX($C$6:$C$10)-(MIN($C$6:$C$10)))</f>
        <v>15</v>
      </c>
    </row>
    <row r="7" spans="2:7">
      <c r="C7">
        <v>30</v>
      </c>
      <c r="D7">
        <f t="shared" ref="D7:D10" si="0">((AVERAGE($C$6:$C$10)-$C7)*(AVERAGE($C$6:$C$10)-$C7))</f>
        <v>1.959999999999996</v>
      </c>
      <c r="F7" t="s">
        <v>31</v>
      </c>
      <c r="G7">
        <f>AVERAGE($D$6:$D$10)</f>
        <v>29.839999999999996</v>
      </c>
    </row>
    <row r="8" spans="2:7">
      <c r="C8">
        <v>27</v>
      </c>
      <c r="D8">
        <f t="shared" si="0"/>
        <v>19.359999999999989</v>
      </c>
    </row>
    <row r="9" spans="2:7">
      <c r="C9">
        <v>35</v>
      </c>
      <c r="D9">
        <f t="shared" si="0"/>
        <v>12.96000000000001</v>
      </c>
    </row>
    <row r="10" spans="2:7">
      <c r="C10">
        <v>40</v>
      </c>
      <c r="D10">
        <f t="shared" si="0"/>
        <v>73.960000000000022</v>
      </c>
    </row>
    <row r="11" spans="2:7">
      <c r="F11" t="s">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6108-A7ED-4C95-90C4-48DB2B8FE92B}">
  <dimension ref="B2:E9"/>
  <sheetViews>
    <sheetView zoomScale="106" workbookViewId="0">
      <selection activeCell="D8" sqref="D8"/>
    </sheetView>
  </sheetViews>
  <sheetFormatPr defaultRowHeight="14.45"/>
  <sheetData>
    <row r="2" spans="2:5">
      <c r="B2" t="s">
        <v>33</v>
      </c>
    </row>
    <row r="3" spans="2:5">
      <c r="B3" t="s">
        <v>34</v>
      </c>
    </row>
    <row r="5" spans="2:5">
      <c r="B5">
        <v>100</v>
      </c>
      <c r="D5" t="s">
        <v>30</v>
      </c>
      <c r="E5">
        <f>MAX($B$5:$B$9)-MIN(B5:B9)</f>
        <v>22</v>
      </c>
    </row>
    <row r="6" spans="2:5">
      <c r="B6">
        <v>105</v>
      </c>
    </row>
    <row r="7" spans="2:5">
      <c r="B7">
        <v>98</v>
      </c>
      <c r="D7" t="s">
        <v>35</v>
      </c>
    </row>
    <row r="8" spans="2:5">
      <c r="B8">
        <v>110</v>
      </c>
    </row>
    <row r="9" spans="2:5">
      <c r="B9">
        <v>120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F3689-8513-4B76-B12E-8E0B65A399D1}">
  <dimension ref="B2:B9"/>
  <sheetViews>
    <sheetView topLeftCell="A2" zoomScale="178" workbookViewId="0">
      <selection activeCell="B10" sqref="B10"/>
    </sheetView>
  </sheetViews>
  <sheetFormatPr defaultRowHeight="14.45"/>
  <sheetData>
    <row r="2" spans="2:2">
      <c r="B2" t="s">
        <v>36</v>
      </c>
    </row>
    <row r="4" spans="2:2">
      <c r="B4" t="s">
        <v>37</v>
      </c>
    </row>
    <row r="5" spans="2:2">
      <c r="B5" t="s">
        <v>38</v>
      </c>
    </row>
    <row r="6" spans="2:2">
      <c r="B6" t="s">
        <v>39</v>
      </c>
    </row>
    <row r="7" spans="2:2">
      <c r="B7" t="s">
        <v>40</v>
      </c>
    </row>
    <row r="9" spans="2:2">
      <c r="B9" t="s">
        <v>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8EE0-E557-4FDB-AA47-723668A09AD1}">
  <dimension ref="B2:B8"/>
  <sheetViews>
    <sheetView workbookViewId="0">
      <selection activeCell="B9" sqref="B9"/>
    </sheetView>
  </sheetViews>
  <sheetFormatPr defaultRowHeight="14.45"/>
  <sheetData>
    <row r="2" spans="2:2">
      <c r="B2" t="s">
        <v>42</v>
      </c>
    </row>
    <row r="3" spans="2:2">
      <c r="B3" t="s">
        <v>43</v>
      </c>
    </row>
    <row r="4" spans="2:2">
      <c r="B4" t="s">
        <v>44</v>
      </c>
    </row>
    <row r="5" spans="2:2">
      <c r="B5" t="s">
        <v>45</v>
      </c>
    </row>
    <row r="6" spans="2:2">
      <c r="B6" t="s">
        <v>46</v>
      </c>
    </row>
    <row r="8" spans="2:2">
      <c r="B8" t="s">
        <v>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0F958-882C-4C66-8259-640414CEE80E}">
  <dimension ref="B2:F12"/>
  <sheetViews>
    <sheetView zoomScale="117" workbookViewId="0">
      <selection activeCell="E13" sqref="E13"/>
    </sheetView>
  </sheetViews>
  <sheetFormatPr defaultRowHeight="14.45"/>
  <cols>
    <col min="5" max="5" width="16.140625" bestFit="1" customWidth="1"/>
  </cols>
  <sheetData>
    <row r="2" spans="2:6">
      <c r="B2" t="s">
        <v>48</v>
      </c>
    </row>
    <row r="4" spans="2:6">
      <c r="B4" t="s">
        <v>49</v>
      </c>
    </row>
    <row r="5" spans="2:6">
      <c r="B5" t="s">
        <v>50</v>
      </c>
    </row>
    <row r="7" spans="2:6">
      <c r="B7" t="s">
        <v>51</v>
      </c>
      <c r="C7" t="s">
        <v>52</v>
      </c>
    </row>
    <row r="8" spans="2:6">
      <c r="B8">
        <v>400</v>
      </c>
      <c r="C8">
        <f>($B8-$F$8)*($B8-$F$8)</f>
        <v>196</v>
      </c>
      <c r="E8" t="s">
        <v>53</v>
      </c>
      <c r="F8">
        <f>AVERAGE($B$8:$B$12)</f>
        <v>414</v>
      </c>
    </row>
    <row r="9" spans="2:6">
      <c r="B9">
        <v>420</v>
      </c>
      <c r="C9">
        <f t="shared" ref="C9:C12" si="0">($B9-$F$8)*($B9-$F$8)</f>
        <v>36</v>
      </c>
      <c r="E9" t="s">
        <v>54</v>
      </c>
      <c r="F9">
        <f>SQRT(AVERAGE($C$8:$C$12))</f>
        <v>20.591260281974002</v>
      </c>
    </row>
    <row r="10" spans="2:6">
      <c r="B10">
        <v>390</v>
      </c>
      <c r="C10">
        <f t="shared" si="0"/>
        <v>576</v>
      </c>
    </row>
    <row r="11" spans="2:6">
      <c r="B11">
        <v>450</v>
      </c>
      <c r="C11">
        <f t="shared" si="0"/>
        <v>1296</v>
      </c>
    </row>
    <row r="12" spans="2:6">
      <c r="B12">
        <v>410</v>
      </c>
      <c r="C12">
        <f t="shared" si="0"/>
        <v>16</v>
      </c>
      <c r="E12" t="s">
        <v>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6D1D0-3449-4172-8A71-F44CCD623B0B}">
  <dimension ref="B2:I17"/>
  <sheetViews>
    <sheetView topLeftCell="A7" zoomScale="102" workbookViewId="0">
      <selection activeCell="Q2" sqref="Q2"/>
    </sheetView>
  </sheetViews>
  <sheetFormatPr defaultRowHeight="14.45"/>
  <cols>
    <col min="7" max="7" width="15.28515625" bestFit="1" customWidth="1"/>
  </cols>
  <sheetData>
    <row r="2" spans="2:9">
      <c r="B2" t="s">
        <v>56</v>
      </c>
    </row>
    <row r="4" spans="2:9">
      <c r="B4" t="s">
        <v>57</v>
      </c>
    </row>
    <row r="6" spans="2:9">
      <c r="B6">
        <v>15</v>
      </c>
      <c r="C6">
        <v>18</v>
      </c>
      <c r="D6">
        <v>20</v>
      </c>
      <c r="E6">
        <v>22</v>
      </c>
      <c r="F6">
        <v>25</v>
      </c>
      <c r="G6">
        <v>17</v>
      </c>
      <c r="H6">
        <v>19</v>
      </c>
      <c r="I6">
        <v>21</v>
      </c>
    </row>
    <row r="8" spans="2:9">
      <c r="B8" t="s">
        <v>53</v>
      </c>
      <c r="C8">
        <f>AVERAGE($B$6:$I$6)</f>
        <v>19.625</v>
      </c>
    </row>
    <row r="9" spans="2:9">
      <c r="B9" t="s">
        <v>58</v>
      </c>
      <c r="C9">
        <f>MEDIAN($B$6:$I$6)</f>
        <v>19.5</v>
      </c>
      <c r="F9" t="s">
        <v>59</v>
      </c>
      <c r="G9" t="s">
        <v>60</v>
      </c>
    </row>
    <row r="10" spans="2:9">
      <c r="B10" t="s">
        <v>61</v>
      </c>
      <c r="C10" t="e">
        <f>MODE($B$6:$I$6)</f>
        <v>#N/A</v>
      </c>
      <c r="F10">
        <v>15</v>
      </c>
      <c r="G10">
        <f>($F10-$C$8)*($F10-$C$8)</f>
        <v>21.390625</v>
      </c>
    </row>
    <row r="11" spans="2:9">
      <c r="B11" t="s">
        <v>30</v>
      </c>
      <c r="C11">
        <f>(MAX($B$6:$I$6)-MIN($B$6:$I$6))</f>
        <v>10</v>
      </c>
      <c r="F11">
        <v>18</v>
      </c>
      <c r="G11">
        <f>($F11-$C$8)*($F11-$C$8)</f>
        <v>2.640625</v>
      </c>
    </row>
    <row r="12" spans="2:9">
      <c r="B12" t="s">
        <v>54</v>
      </c>
      <c r="C12">
        <f>SQRT(AVERAGE($G$10:$G$17))</f>
        <v>2.912795049432761</v>
      </c>
      <c r="F12">
        <v>20</v>
      </c>
      <c r="G12">
        <f t="shared" ref="G11:G17" si="0">($F12-$C$8)*($F12-$C$8)</f>
        <v>0.140625</v>
      </c>
    </row>
    <row r="13" spans="2:9">
      <c r="F13">
        <v>22</v>
      </c>
      <c r="G13">
        <f t="shared" si="0"/>
        <v>5.640625</v>
      </c>
    </row>
    <row r="14" spans="2:9">
      <c r="B14" t="s">
        <v>62</v>
      </c>
      <c r="F14">
        <v>25</v>
      </c>
      <c r="G14">
        <f t="shared" si="0"/>
        <v>28.890625</v>
      </c>
    </row>
    <row r="15" spans="2:9">
      <c r="B15" t="s">
        <v>63</v>
      </c>
      <c r="F15">
        <v>17</v>
      </c>
      <c r="G15">
        <f t="shared" si="0"/>
        <v>6.890625</v>
      </c>
    </row>
    <row r="16" spans="2:9">
      <c r="F16">
        <v>19</v>
      </c>
      <c r="G16">
        <f t="shared" si="0"/>
        <v>0.390625</v>
      </c>
    </row>
    <row r="17" spans="2:7">
      <c r="B17" t="s">
        <v>64</v>
      </c>
      <c r="F17">
        <v>21</v>
      </c>
      <c r="G17">
        <f t="shared" si="0"/>
        <v>1.890625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sahil rajput</dc:creator>
  <cp:keywords/>
  <dc:description/>
  <cp:lastModifiedBy/>
  <cp:revision/>
  <dcterms:created xsi:type="dcterms:W3CDTF">2025-12-29T13:47:27Z</dcterms:created>
  <dcterms:modified xsi:type="dcterms:W3CDTF">2025-12-30T13:59:54Z</dcterms:modified>
  <cp:category/>
  <cp:contentStatus/>
</cp:coreProperties>
</file>